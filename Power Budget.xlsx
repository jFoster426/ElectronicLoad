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uddf\Documents\Electronic Load\"/>
    </mc:Choice>
  </mc:AlternateContent>
  <xr:revisionPtr revIDLastSave="0" documentId="13_ncr:1_{CD34EC70-F0A4-4D1D-B861-3BD85CEEA02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" i="1" l="1"/>
  <c r="O30" i="1"/>
  <c r="P30" i="1"/>
  <c r="Q30" i="1"/>
  <c r="R30" i="1"/>
  <c r="M33" i="1"/>
  <c r="M30" i="1" s="1"/>
  <c r="N26" i="1"/>
  <c r="Q26" i="1"/>
  <c r="R26" i="1"/>
  <c r="N19" i="1"/>
  <c r="O19" i="1"/>
  <c r="P19" i="1"/>
  <c r="Q19" i="1"/>
  <c r="R19" i="1"/>
  <c r="M19" i="1"/>
  <c r="R15" i="1"/>
  <c r="N15" i="1"/>
  <c r="O15" i="1"/>
  <c r="P15" i="1"/>
  <c r="Q15" i="1"/>
  <c r="M15" i="1"/>
  <c r="N12" i="1"/>
  <c r="O12" i="1"/>
  <c r="P12" i="1"/>
  <c r="Q12" i="1"/>
  <c r="R12" i="1"/>
  <c r="M12" i="1"/>
  <c r="N5" i="1"/>
  <c r="N4" i="1" s="1"/>
  <c r="N3" i="1" s="1"/>
  <c r="O5" i="1"/>
  <c r="O4" i="1" s="1"/>
  <c r="O3" i="1" s="1"/>
  <c r="P5" i="1"/>
  <c r="P4" i="1" s="1"/>
  <c r="P3" i="1" s="1"/>
  <c r="Q5" i="1"/>
  <c r="Q4" i="1" s="1"/>
  <c r="Q3" i="1" s="1"/>
  <c r="R5" i="1"/>
  <c r="R4" i="1" s="1"/>
  <c r="R3" i="1" s="1"/>
  <c r="R2" i="1" s="1"/>
  <c r="M5" i="1"/>
  <c r="M4" i="1" s="1"/>
  <c r="M3" i="1" l="1"/>
  <c r="P28" i="1"/>
  <c r="P26" i="1" s="1"/>
  <c r="Q2" i="1"/>
  <c r="O27" i="1" s="1"/>
  <c r="O26" i="1" s="1"/>
  <c r="N2" i="1"/>
  <c r="M25" i="1" s="1"/>
  <c r="M24" i="1" s="1"/>
  <c r="O2" i="1" l="1"/>
  <c r="P2" i="1"/>
  <c r="M29" i="1" l="1"/>
  <c r="M26" i="1" s="1"/>
  <c r="M2" i="1" s="1"/>
</calcChain>
</file>

<file path=xl/sharedStrings.xml><?xml version="1.0" encoding="utf-8"?>
<sst xmlns="http://schemas.openxmlformats.org/spreadsheetml/2006/main" count="38" uniqueCount="35">
  <si>
    <t>+15VA</t>
  </si>
  <si>
    <t>-5V0A</t>
  </si>
  <si>
    <t>OPA2209</t>
  </si>
  <si>
    <t>+19V</t>
  </si>
  <si>
    <t>-19V</t>
  </si>
  <si>
    <t>Electronic Load Top</t>
  </si>
  <si>
    <t>Control Loop Top</t>
  </si>
  <si>
    <t>Control Loop</t>
  </si>
  <si>
    <t>IGBT Current Control</t>
  </si>
  <si>
    <t>Current Shunts</t>
  </si>
  <si>
    <t>Pass Transistor</t>
  </si>
  <si>
    <t>MCP9701</t>
  </si>
  <si>
    <t>Clamp Top</t>
  </si>
  <si>
    <t>Clamp</t>
  </si>
  <si>
    <t>MCU</t>
  </si>
  <si>
    <t>Power Page 1</t>
  </si>
  <si>
    <t>Power Page 2</t>
  </si>
  <si>
    <t>User Interface</t>
  </si>
  <si>
    <t>STM32G474</t>
  </si>
  <si>
    <t>Red LED</t>
  </si>
  <si>
    <t>Yellow LED</t>
  </si>
  <si>
    <t>Green LED</t>
  </si>
  <si>
    <t>+5V0</t>
  </si>
  <si>
    <t>+3V3</t>
  </si>
  <si>
    <t>DAC</t>
  </si>
  <si>
    <t>Voltage Sense</t>
  </si>
  <si>
    <t>REF3030</t>
  </si>
  <si>
    <t>DAC8830</t>
  </si>
  <si>
    <t>LM337</t>
  </si>
  <si>
    <t>LM317</t>
  </si>
  <si>
    <t>SN6505</t>
  </si>
  <si>
    <t>TXB0108</t>
  </si>
  <si>
    <t>TXU0104</t>
  </si>
  <si>
    <t>LCD</t>
  </si>
  <si>
    <t>TPS79333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</si>
</sst>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="115" zoomScaleNormal="115" workbookViewId="0">
      <selection activeCell="S25" sqref="S25"/>
    </sheetView>
  </sheetViews>
  <sheetFormatPr defaultColWidth="8.7109375" defaultRowHeight="15" x14ac:dyDescent="0.25"/>
  <cols>
    <col min="1" max="11" width="2.5703125" style="1" customWidth="1"/>
    <col min="12" max="12" width="18.42578125" style="1" customWidth="1"/>
    <col min="13" max="14" width="8.7109375" style="1" customWidth="1"/>
    <col min="15" max="16384" width="8.7109375" style="1"/>
  </cols>
  <sheetData>
    <row r="1" spans="1:18" x14ac:dyDescent="0.25">
      <c r="M1" s="2" t="s">
        <v>22</v>
      </c>
      <c r="N1" s="2" t="s">
        <v>23</v>
      </c>
      <c r="O1" s="2" t="s">
        <v>3</v>
      </c>
      <c r="P1" s="2" t="s">
        <v>4</v>
      </c>
      <c r="Q1" s="2" t="s">
        <v>0</v>
      </c>
      <c r="R1" s="2" t="s">
        <v>1</v>
      </c>
    </row>
    <row r="2" spans="1:18" s="6" customFormat="1" x14ac:dyDescent="0.25">
      <c r="A2" s="6" t="s">
        <v>5</v>
      </c>
      <c r="M2" s="7">
        <f>M3+M19+M24+M26+M30</f>
        <v>816.83949999999993</v>
      </c>
      <c r="N2" s="7">
        <f>N3+N19+N24+N26+N30</f>
        <v>162.08200000000002</v>
      </c>
      <c r="O2" s="7">
        <f>O3+O19+O24+O26+O30</f>
        <v>62.5</v>
      </c>
      <c r="P2" s="7">
        <f>P3+P19+P24+P26+P30</f>
        <v>62.5</v>
      </c>
      <c r="Q2" s="7">
        <f>Q3+Q19+Q24+Q26+Q30</f>
        <v>62.5</v>
      </c>
      <c r="R2" s="7">
        <f>R3+R19+R24+R26+R30</f>
        <v>62.5</v>
      </c>
    </row>
    <row r="3" spans="1:18" s="5" customFormat="1" x14ac:dyDescent="0.25">
      <c r="B3" s="5" t="s">
        <v>6</v>
      </c>
      <c r="M3" s="5">
        <f>M4*8+M12+M15+M17</f>
        <v>0</v>
      </c>
      <c r="N3" s="5">
        <f t="shared" ref="N3:R3" si="0">N4*8+N12+N15+N17</f>
        <v>6.2E-2</v>
      </c>
      <c r="O3" s="5">
        <f t="shared" si="0"/>
        <v>0</v>
      </c>
      <c r="P3" s="5">
        <f t="shared" si="0"/>
        <v>0</v>
      </c>
      <c r="Q3" s="5">
        <f t="shared" si="0"/>
        <v>62.5</v>
      </c>
      <c r="R3" s="5">
        <f t="shared" si="0"/>
        <v>62.5</v>
      </c>
    </row>
    <row r="4" spans="1:18" s="4" customFormat="1" x14ac:dyDescent="0.25">
      <c r="C4" s="4" t="s">
        <v>7</v>
      </c>
      <c r="M4" s="4">
        <f>M5+M9+M10</f>
        <v>0</v>
      </c>
      <c r="N4" s="4">
        <f t="shared" ref="N4:R4" si="1">N5+N9+N10</f>
        <v>0</v>
      </c>
      <c r="O4" s="4">
        <f t="shared" si="1"/>
        <v>0</v>
      </c>
      <c r="P4" s="4">
        <f t="shared" si="1"/>
        <v>0</v>
      </c>
      <c r="Q4" s="4">
        <f t="shared" si="1"/>
        <v>7.5</v>
      </c>
      <c r="R4" s="4">
        <f t="shared" si="1"/>
        <v>7.5</v>
      </c>
    </row>
    <row r="5" spans="1:18" s="3" customFormat="1" x14ac:dyDescent="0.25">
      <c r="D5" s="3" t="s">
        <v>8</v>
      </c>
      <c r="M5" s="3">
        <f>SUM(M6:M8)</f>
        <v>0</v>
      </c>
      <c r="N5" s="3">
        <f t="shared" ref="N5:R5" si="2">SUM(N6:N8)</f>
        <v>0</v>
      </c>
      <c r="O5" s="3">
        <f t="shared" si="2"/>
        <v>0</v>
      </c>
      <c r="P5" s="3">
        <f t="shared" si="2"/>
        <v>0</v>
      </c>
      <c r="Q5" s="3">
        <f t="shared" si="2"/>
        <v>7.5</v>
      </c>
      <c r="R5" s="3">
        <f t="shared" si="2"/>
        <v>7.5</v>
      </c>
    </row>
    <row r="6" spans="1:18" x14ac:dyDescent="0.25">
      <c r="L6" s="1" t="s">
        <v>2</v>
      </c>
      <c r="M6" s="1">
        <v>0</v>
      </c>
      <c r="N6" s="1">
        <v>0</v>
      </c>
      <c r="O6" s="1">
        <v>0</v>
      </c>
      <c r="P6" s="1">
        <v>0</v>
      </c>
      <c r="Q6" s="1">
        <v>2.5</v>
      </c>
      <c r="R6" s="1">
        <v>2.5</v>
      </c>
    </row>
    <row r="7" spans="1:18" x14ac:dyDescent="0.25">
      <c r="L7" s="1" t="s">
        <v>2</v>
      </c>
      <c r="M7" s="1">
        <v>0</v>
      </c>
      <c r="N7" s="1">
        <v>0</v>
      </c>
      <c r="O7" s="1">
        <v>0</v>
      </c>
      <c r="P7" s="1">
        <v>0</v>
      </c>
      <c r="Q7" s="1">
        <v>2.5</v>
      </c>
      <c r="R7" s="1">
        <v>2.5</v>
      </c>
    </row>
    <row r="8" spans="1:18" x14ac:dyDescent="0.25">
      <c r="L8" s="1" t="s">
        <v>2</v>
      </c>
      <c r="M8" s="1">
        <v>0</v>
      </c>
      <c r="N8" s="1">
        <v>0</v>
      </c>
      <c r="O8" s="1">
        <v>0</v>
      </c>
      <c r="P8" s="1">
        <v>0</v>
      </c>
      <c r="Q8" s="1">
        <v>2.5</v>
      </c>
      <c r="R8" s="1">
        <v>2.5</v>
      </c>
    </row>
    <row r="9" spans="1:18" s="3" customFormat="1" x14ac:dyDescent="0.25">
      <c r="D9" s="3" t="s">
        <v>9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 s="3" customFormat="1" x14ac:dyDescent="0.25">
      <c r="D10" s="3" t="s">
        <v>10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 x14ac:dyDescent="0.25">
      <c r="L11" s="1" t="s">
        <v>11</v>
      </c>
      <c r="M11" s="1">
        <v>0</v>
      </c>
      <c r="N11" s="1">
        <v>6.0000000000000001E-3</v>
      </c>
      <c r="O11" s="1">
        <v>0</v>
      </c>
      <c r="P11" s="1">
        <v>0</v>
      </c>
      <c r="Q11" s="1">
        <v>0</v>
      </c>
      <c r="R11" s="1">
        <v>0</v>
      </c>
    </row>
    <row r="12" spans="1:18" s="4" customFormat="1" x14ac:dyDescent="0.25">
      <c r="C12" s="4" t="s">
        <v>24</v>
      </c>
      <c r="M12" s="4">
        <f>SUM(M13:M14)</f>
        <v>0</v>
      </c>
      <c r="N12" s="4">
        <f t="shared" ref="N12:R12" si="3">SUM(N13:N14)</f>
        <v>6.2E-2</v>
      </c>
      <c r="O12" s="4">
        <f t="shared" si="3"/>
        <v>0</v>
      </c>
      <c r="P12" s="4">
        <f t="shared" si="3"/>
        <v>0</v>
      </c>
      <c r="Q12" s="4">
        <f t="shared" si="3"/>
        <v>0</v>
      </c>
      <c r="R12" s="4">
        <f t="shared" si="3"/>
        <v>0</v>
      </c>
    </row>
    <row r="13" spans="1:18" x14ac:dyDescent="0.25">
      <c r="L13" s="1" t="s">
        <v>26</v>
      </c>
      <c r="M13" s="1">
        <v>0</v>
      </c>
      <c r="N13" s="1">
        <v>4.2000000000000003E-2</v>
      </c>
      <c r="O13" s="1">
        <v>0</v>
      </c>
      <c r="P13" s="1">
        <v>0</v>
      </c>
      <c r="Q13" s="1">
        <v>0</v>
      </c>
      <c r="R13" s="1">
        <v>0</v>
      </c>
    </row>
    <row r="14" spans="1:18" x14ac:dyDescent="0.25">
      <c r="L14" s="1" t="s">
        <v>27</v>
      </c>
      <c r="M14" s="1">
        <v>0</v>
      </c>
      <c r="N14" s="1">
        <v>0.02</v>
      </c>
      <c r="O14" s="1">
        <v>0</v>
      </c>
      <c r="P14" s="1">
        <v>0</v>
      </c>
      <c r="Q14" s="1">
        <v>0</v>
      </c>
      <c r="R14" s="1">
        <v>0</v>
      </c>
    </row>
    <row r="15" spans="1:18" s="4" customFormat="1" x14ac:dyDescent="0.25">
      <c r="C15" s="4" t="s">
        <v>25</v>
      </c>
      <c r="M15" s="4">
        <f>M16</f>
        <v>0</v>
      </c>
      <c r="N15" s="4">
        <f t="shared" ref="N15:R15" si="4">N16</f>
        <v>0</v>
      </c>
      <c r="O15" s="4">
        <f t="shared" si="4"/>
        <v>0</v>
      </c>
      <c r="P15" s="4">
        <f t="shared" si="4"/>
        <v>0</v>
      </c>
      <c r="Q15" s="4">
        <f t="shared" si="4"/>
        <v>2.5</v>
      </c>
      <c r="R15" s="4">
        <f t="shared" si="4"/>
        <v>2.5</v>
      </c>
    </row>
    <row r="16" spans="1:18" x14ac:dyDescent="0.25">
      <c r="L16" s="1" t="s">
        <v>2</v>
      </c>
      <c r="M16" s="1">
        <v>0</v>
      </c>
      <c r="N16" s="1">
        <v>0</v>
      </c>
      <c r="O16" s="1">
        <v>0</v>
      </c>
      <c r="P16" s="1">
        <v>0</v>
      </c>
      <c r="Q16" s="1">
        <v>2.5</v>
      </c>
      <c r="R16" s="1">
        <v>2.5</v>
      </c>
    </row>
    <row r="17" spans="2:18" s="4" customFormat="1" x14ac:dyDescent="0.25">
      <c r="C17" s="4" t="s">
        <v>12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</row>
    <row r="18" spans="2:18" s="3" customFormat="1" x14ac:dyDescent="0.25">
      <c r="D18" s="3" t="s">
        <v>13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2:18" s="5" customFormat="1" x14ac:dyDescent="0.25">
      <c r="B19" s="5" t="s">
        <v>14</v>
      </c>
      <c r="M19" s="5">
        <f>SUM(M20:M23)</f>
        <v>0</v>
      </c>
      <c r="N19" s="5">
        <f t="shared" ref="N19:R19" si="5">SUM(N20:N23)</f>
        <v>162</v>
      </c>
      <c r="O19" s="5">
        <f t="shared" si="5"/>
        <v>0</v>
      </c>
      <c r="P19" s="5">
        <f t="shared" si="5"/>
        <v>0</v>
      </c>
      <c r="Q19" s="5">
        <f t="shared" si="5"/>
        <v>0</v>
      </c>
      <c r="R19" s="5">
        <f t="shared" si="5"/>
        <v>0</v>
      </c>
    </row>
    <row r="20" spans="2:18" x14ac:dyDescent="0.25">
      <c r="L20" s="1" t="s">
        <v>18</v>
      </c>
      <c r="M20" s="1">
        <v>0</v>
      </c>
      <c r="N20" s="1">
        <v>150</v>
      </c>
      <c r="O20" s="1">
        <v>0</v>
      </c>
      <c r="P20" s="1">
        <v>0</v>
      </c>
      <c r="Q20" s="1">
        <v>0</v>
      </c>
      <c r="R20" s="1">
        <v>0</v>
      </c>
    </row>
    <row r="21" spans="2:18" x14ac:dyDescent="0.25">
      <c r="L21" s="1" t="s">
        <v>19</v>
      </c>
      <c r="M21" s="1">
        <v>0</v>
      </c>
      <c r="N21" s="1">
        <v>2</v>
      </c>
      <c r="O21" s="1">
        <v>0</v>
      </c>
      <c r="P21" s="1">
        <v>0</v>
      </c>
      <c r="Q21" s="1">
        <v>0</v>
      </c>
      <c r="R21" s="1">
        <v>0</v>
      </c>
    </row>
    <row r="22" spans="2:18" x14ac:dyDescent="0.25">
      <c r="L22" s="1" t="s">
        <v>20</v>
      </c>
      <c r="M22" s="1">
        <v>0</v>
      </c>
      <c r="N22" s="1">
        <v>5</v>
      </c>
      <c r="O22" s="1">
        <v>0</v>
      </c>
      <c r="P22" s="1">
        <v>0</v>
      </c>
      <c r="Q22" s="1">
        <v>0</v>
      </c>
      <c r="R22" s="1">
        <v>0</v>
      </c>
    </row>
    <row r="23" spans="2:18" x14ac:dyDescent="0.25">
      <c r="L23" s="1" t="s">
        <v>21</v>
      </c>
      <c r="M23" s="1">
        <v>0</v>
      </c>
      <c r="N23" s="1">
        <v>5</v>
      </c>
      <c r="O23" s="1">
        <v>0</v>
      </c>
      <c r="P23" s="1">
        <v>0</v>
      </c>
      <c r="Q23" s="1">
        <v>0</v>
      </c>
      <c r="R23" s="1">
        <v>0</v>
      </c>
    </row>
    <row r="24" spans="2:18" s="5" customFormat="1" x14ac:dyDescent="0.25">
      <c r="B24" s="5" t="s">
        <v>15</v>
      </c>
      <c r="M24" s="5">
        <f>M25</f>
        <v>162.08200000000002</v>
      </c>
    </row>
    <row r="25" spans="2:18" x14ac:dyDescent="0.25">
      <c r="L25" s="1" t="s">
        <v>34</v>
      </c>
      <c r="M25" s="1">
        <f>N2</f>
        <v>162.08200000000002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2:18" s="5" customFormat="1" x14ac:dyDescent="0.25">
      <c r="B26" s="5" t="s">
        <v>16</v>
      </c>
      <c r="M26" s="5">
        <f>SUM(M27:M29)</f>
        <v>613.23749999999995</v>
      </c>
      <c r="N26" s="5">
        <f t="shared" ref="N26:R26" si="6">SUM(N27:N29)</f>
        <v>0</v>
      </c>
      <c r="O26" s="5">
        <f t="shared" si="6"/>
        <v>62.5</v>
      </c>
      <c r="P26" s="5">
        <f t="shared" si="6"/>
        <v>62.5</v>
      </c>
      <c r="Q26" s="5">
        <f t="shared" si="6"/>
        <v>0</v>
      </c>
      <c r="R26" s="5">
        <f t="shared" si="6"/>
        <v>0</v>
      </c>
    </row>
    <row r="27" spans="2:18" x14ac:dyDescent="0.25">
      <c r="L27" s="1" t="s">
        <v>29</v>
      </c>
      <c r="M27" s="1">
        <v>0</v>
      </c>
      <c r="N27" s="1">
        <v>0</v>
      </c>
      <c r="O27" s="1">
        <f>Q2</f>
        <v>62.5</v>
      </c>
      <c r="P27" s="1">
        <v>0</v>
      </c>
      <c r="Q27" s="1">
        <v>0</v>
      </c>
      <c r="R27" s="1">
        <v>0</v>
      </c>
    </row>
    <row r="28" spans="2:18" x14ac:dyDescent="0.25">
      <c r="L28" s="1" t="s">
        <v>28</v>
      </c>
      <c r="M28" s="1">
        <v>0</v>
      </c>
      <c r="N28" s="1">
        <v>0</v>
      </c>
      <c r="O28" s="1">
        <v>0</v>
      </c>
      <c r="P28" s="1">
        <f>R2</f>
        <v>62.5</v>
      </c>
      <c r="Q28" s="1">
        <v>0</v>
      </c>
      <c r="R28" s="1">
        <v>0</v>
      </c>
    </row>
    <row r="29" spans="2:18" x14ac:dyDescent="0.25">
      <c r="L29" s="1" t="s">
        <v>30</v>
      </c>
      <c r="M29" s="1">
        <f>2.3+((O2+P2)*3.91)/0.8</f>
        <v>613.23749999999995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2:18" s="5" customFormat="1" x14ac:dyDescent="0.25">
      <c r="B30" s="5" t="s">
        <v>17</v>
      </c>
      <c r="M30" s="5">
        <f>SUM(M31:M33)</f>
        <v>41.52</v>
      </c>
      <c r="N30" s="5">
        <f t="shared" ref="N30:R30" si="7">SUM(N31:N33)</f>
        <v>0.02</v>
      </c>
      <c r="O30" s="5">
        <f t="shared" si="7"/>
        <v>0</v>
      </c>
      <c r="P30" s="5">
        <f t="shared" si="7"/>
        <v>0</v>
      </c>
      <c r="Q30" s="5">
        <f t="shared" si="7"/>
        <v>0</v>
      </c>
      <c r="R30" s="5">
        <f t="shared" si="7"/>
        <v>0</v>
      </c>
    </row>
    <row r="31" spans="2:18" x14ac:dyDescent="0.25">
      <c r="L31" s="1" t="s">
        <v>32</v>
      </c>
      <c r="M31" s="1">
        <v>1.4999999999999999E-2</v>
      </c>
      <c r="N31" s="1">
        <v>1.4999999999999999E-2</v>
      </c>
      <c r="O31" s="1">
        <v>0</v>
      </c>
      <c r="P31" s="1">
        <v>0</v>
      </c>
      <c r="Q31" s="1">
        <v>0</v>
      </c>
      <c r="R31" s="1">
        <v>0</v>
      </c>
    </row>
    <row r="32" spans="2:18" x14ac:dyDescent="0.25">
      <c r="L32" s="1" t="s">
        <v>31</v>
      </c>
      <c r="M32" s="1">
        <v>5.0000000000000001E-3</v>
      </c>
      <c r="N32" s="1">
        <v>5.0000000000000001E-3</v>
      </c>
      <c r="O32" s="1">
        <v>0</v>
      </c>
      <c r="P32" s="1">
        <v>0</v>
      </c>
      <c r="Q32" s="1">
        <v>0</v>
      </c>
      <c r="R32" s="1">
        <v>0</v>
      </c>
    </row>
    <row r="33" spans="12:18" x14ac:dyDescent="0.25">
      <c r="L33" s="1" t="s">
        <v>33</v>
      </c>
      <c r="M33" s="1">
        <f>1.5+40</f>
        <v>41.5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Judd Foster</dc:creator>
  <cp:lastModifiedBy>Judd Foster</cp:lastModifiedBy>
  <dcterms:created xsi:type="dcterms:W3CDTF">2015-06-05T18:17:20Z</dcterms:created>
  <dcterms:modified xsi:type="dcterms:W3CDTF">2025-12-14T04:58:43Z</dcterms:modified>
</cp:coreProperties>
</file>