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df\Documents\Electronic Load\"/>
    </mc:Choice>
  </mc:AlternateContent>
  <xr:revisionPtr revIDLastSave="0" documentId="13_ncr:1_{AA7B615F-EA04-4971-9126-2E05AB126BFC}" xr6:coauthVersionLast="36" xr6:coauthVersionMax="36" xr10:uidLastSave="{00000000-0000-0000-0000-000000000000}"/>
  <bookViews>
    <workbookView xWindow="0" yWindow="0" windowWidth="28800" windowHeight="12105" xr2:uid="{32479448-CD9B-4B32-A975-EDC7DF02B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9" i="1"/>
  <c r="D19" i="1"/>
  <c r="F18" i="1"/>
  <c r="E18" i="1"/>
  <c r="D18" i="1"/>
  <c r="D15" i="1"/>
  <c r="E15" i="1"/>
  <c r="E16" i="1"/>
  <c r="E17" i="1" s="1"/>
  <c r="E14" i="1"/>
  <c r="D14" i="1"/>
  <c r="E13" i="1"/>
  <c r="E12" i="1"/>
  <c r="E11" i="1"/>
  <c r="E5" i="1"/>
  <c r="E4" i="1"/>
  <c r="E3" i="1"/>
  <c r="D17" i="1" l="1"/>
  <c r="D13" i="1"/>
  <c r="B3" i="1"/>
  <c r="F14" i="1"/>
  <c r="F13" i="1"/>
  <c r="F12" i="1"/>
  <c r="D12" i="1"/>
  <c r="D5" i="1"/>
  <c r="F5" i="1"/>
  <c r="D3" i="1"/>
  <c r="D11" i="1" s="1"/>
  <c r="D16" i="1" s="1"/>
  <c r="F3" i="1"/>
  <c r="F11" i="1" s="1"/>
  <c r="F16" i="1" s="1"/>
  <c r="F17" i="1" s="1"/>
  <c r="B4" i="1"/>
  <c r="F4" i="1" s="1"/>
  <c r="D4" i="1" l="1"/>
</calcChain>
</file>

<file path=xl/sharedStrings.xml><?xml version="1.0" encoding="utf-8"?>
<sst xmlns="http://schemas.openxmlformats.org/spreadsheetml/2006/main" count="48" uniqueCount="37">
  <si>
    <t>Tolerance Stack for Current Sensing</t>
  </si>
  <si>
    <t>Current Sense Resistor</t>
  </si>
  <si>
    <t>Value</t>
  </si>
  <si>
    <t>Tolerance</t>
  </si>
  <si>
    <t>Min</t>
  </si>
  <si>
    <t>Max</t>
  </si>
  <si>
    <t>Units</t>
  </si>
  <si>
    <t>A</t>
  </si>
  <si>
    <t>Ω</t>
  </si>
  <si>
    <t>Input Resistor</t>
  </si>
  <si>
    <t>Feedback Resistor</t>
  </si>
  <si>
    <t>OPA2209 Input Bias Current</t>
  </si>
  <si>
    <t>OPA2209 Input Offset Voltage</t>
  </si>
  <si>
    <t>µV</t>
  </si>
  <si>
    <t>nA</t>
  </si>
  <si>
    <t>Notes</t>
  </si>
  <si>
    <t>kΩ</t>
  </si>
  <si>
    <t>OPA2209 Output Voltage</t>
  </si>
  <si>
    <t>V</t>
  </si>
  <si>
    <t>Input offset current is same as input bias current so it is assumed that the full current flows into one pin and out of the other pin for each scenario</t>
  </si>
  <si>
    <t>Voltage at Vn</t>
  </si>
  <si>
    <t>Voltage at Vp</t>
  </si>
  <si>
    <t>Assumed that input potential is also referenced to COM, and VOS appears on this pin</t>
  </si>
  <si>
    <t>-</t>
  </si>
  <si>
    <t>Rf || Ri</t>
  </si>
  <si>
    <t>Shunt Resistor Output Voltage</t>
  </si>
  <si>
    <t>Approximate because Rs &lt;&lt; Ri</t>
  </si>
  <si>
    <t>Current through Ri</t>
  </si>
  <si>
    <t>mA</t>
  </si>
  <si>
    <t>Current through Rf</t>
  </si>
  <si>
    <t>1 % tolerance -&gt; 1.4 % tolerance over temp, lifetime</t>
  </si>
  <si>
    <t>0.1 % tolerance -&gt; 0.4 % tolerance over temp, lifetime</t>
  </si>
  <si>
    <t>Nom</t>
  </si>
  <si>
    <t>Input Current</t>
  </si>
  <si>
    <t>Measured Current</t>
  </si>
  <si>
    <t>Percent Error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</si>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</sst>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left"/>
    </xf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8D10-51C7-4771-9D46-E049EB2AC29D}">
  <dimension ref="A1:H21"/>
  <sheetViews>
    <sheetView tabSelected="1" zoomScale="130" zoomScaleNormal="130" workbookViewId="0">
      <selection activeCell="E19" sqref="E19"/>
    </sheetView>
  </sheetViews>
  <sheetFormatPr defaultRowHeight="15" x14ac:dyDescent="0.25"/>
  <cols>
    <col min="1" max="1" width="34.7109375" style="1" customWidth="1"/>
    <col min="2" max="3" width="9.140625" style="1"/>
    <col min="4" max="4" width="13.28515625" style="1" bestFit="1" customWidth="1"/>
    <col min="5" max="5" width="13.28515625" style="1" customWidth="1"/>
    <col min="6" max="6" width="12.7109375" style="1" bestFit="1" customWidth="1"/>
    <col min="7" max="7" width="9.140625" style="1"/>
    <col min="8" max="8" width="46.42578125" style="1" customWidth="1"/>
    <col min="9" max="16384" width="9.140625" style="1"/>
  </cols>
  <sheetData>
    <row r="1" spans="1:8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32</v>
      </c>
      <c r="F1" s="4" t="s">
        <v>5</v>
      </c>
      <c r="G1" s="4" t="s">
        <v>6</v>
      </c>
      <c r="H1" s="4" t="s">
        <v>15</v>
      </c>
    </row>
    <row r="2" spans="1:8" x14ac:dyDescent="0.25">
      <c r="A2" s="1" t="s">
        <v>33</v>
      </c>
      <c r="B2" s="1">
        <v>1</v>
      </c>
      <c r="C2" s="3" t="s">
        <v>23</v>
      </c>
      <c r="D2" s="3" t="s">
        <v>23</v>
      </c>
      <c r="E2" s="3" t="s">
        <v>23</v>
      </c>
      <c r="F2" s="3" t="s">
        <v>23</v>
      </c>
      <c r="G2" s="1" t="s">
        <v>7</v>
      </c>
    </row>
    <row r="3" spans="1:8" x14ac:dyDescent="0.25">
      <c r="A3" s="1" t="s">
        <v>1</v>
      </c>
      <c r="B3" s="1">
        <f>0.02/6</f>
        <v>3.3333333333333335E-3</v>
      </c>
      <c r="C3" s="1">
        <v>1.4E-2</v>
      </c>
      <c r="D3" s="1">
        <f>B3*(1-C3)</f>
        <v>3.2866666666666669E-3</v>
      </c>
      <c r="E3" s="1">
        <f>B3</f>
        <v>3.3333333333333335E-3</v>
      </c>
      <c r="F3" s="1">
        <f>B3*(1+C3)</f>
        <v>3.3800000000000002E-3</v>
      </c>
      <c r="G3" s="1" t="s">
        <v>8</v>
      </c>
      <c r="H3" s="1" t="s">
        <v>30</v>
      </c>
    </row>
    <row r="4" spans="1:8" x14ac:dyDescent="0.25">
      <c r="A4" s="1" t="s">
        <v>9</v>
      </c>
      <c r="B4" s="1">
        <f>1/6</f>
        <v>0.16666666666666666</v>
      </c>
      <c r="C4" s="1">
        <v>4.0000000000000001E-3</v>
      </c>
      <c r="D4" s="1">
        <f>B4*(1-C4)</f>
        <v>0.16599999999999998</v>
      </c>
      <c r="E4" s="1">
        <f>B4</f>
        <v>0.16666666666666666</v>
      </c>
      <c r="F4" s="1">
        <f>B4*(1+C4)</f>
        <v>0.16733333333333333</v>
      </c>
      <c r="G4" s="1" t="s">
        <v>16</v>
      </c>
      <c r="H4" s="1" t="s">
        <v>31</v>
      </c>
    </row>
    <row r="5" spans="1:8" x14ac:dyDescent="0.25">
      <c r="A5" s="1" t="s">
        <v>10</v>
      </c>
      <c r="B5" s="1">
        <v>6.81</v>
      </c>
      <c r="C5" s="1">
        <v>4.0000000000000001E-3</v>
      </c>
      <c r="D5" s="1">
        <f>B5*(1-C5)</f>
        <v>6.7827599999999997</v>
      </c>
      <c r="E5" s="1">
        <f>B5</f>
        <v>6.81</v>
      </c>
      <c r="F5" s="1">
        <f>B5*(1+C5)</f>
        <v>6.8372399999999995</v>
      </c>
      <c r="G5" s="1" t="s">
        <v>16</v>
      </c>
      <c r="H5" s="1" t="s">
        <v>31</v>
      </c>
    </row>
    <row r="6" spans="1:8" ht="45" x14ac:dyDescent="0.25">
      <c r="A6" s="1" t="s">
        <v>11</v>
      </c>
      <c r="D6" s="1">
        <v>-8</v>
      </c>
      <c r="E6" s="1">
        <v>0</v>
      </c>
      <c r="F6" s="1">
        <v>8</v>
      </c>
      <c r="G6" s="1" t="s">
        <v>14</v>
      </c>
      <c r="H6" s="2" t="s">
        <v>19</v>
      </c>
    </row>
    <row r="7" spans="1:8" x14ac:dyDescent="0.25">
      <c r="A7" s="1" t="s">
        <v>12</v>
      </c>
      <c r="D7" s="1">
        <v>-150</v>
      </c>
      <c r="E7" s="1">
        <v>0</v>
      </c>
      <c r="F7" s="1">
        <v>150</v>
      </c>
      <c r="G7" s="1" t="s">
        <v>13</v>
      </c>
    </row>
    <row r="11" spans="1:8" x14ac:dyDescent="0.25">
      <c r="A11" s="1" t="s">
        <v>25</v>
      </c>
      <c r="D11" s="1">
        <f>B2*D3</f>
        <v>3.2866666666666669E-3</v>
      </c>
      <c r="E11" s="1">
        <f>B2*E3</f>
        <v>3.3333333333333335E-3</v>
      </c>
      <c r="F11" s="1">
        <f>B2*F3</f>
        <v>3.3800000000000002E-3</v>
      </c>
      <c r="G11" s="1" t="s">
        <v>18</v>
      </c>
      <c r="H11" s="1" t="s">
        <v>26</v>
      </c>
    </row>
    <row r="12" spans="1:8" x14ac:dyDescent="0.25">
      <c r="A12" s="1" t="s">
        <v>24</v>
      </c>
      <c r="D12" s="1">
        <f>1/((1/D4)+(1/D5))</f>
        <v>0.16203440038222644</v>
      </c>
      <c r="E12" s="1">
        <f>1/((1/E4)+(1/E5))</f>
        <v>0.1626851409460105</v>
      </c>
      <c r="F12" s="1">
        <f>1/((1/F4)+(1/F5))</f>
        <v>0.16333588150979456</v>
      </c>
      <c r="G12" s="1" t="s">
        <v>16</v>
      </c>
    </row>
    <row r="13" spans="1:8" ht="30" x14ac:dyDescent="0.25">
      <c r="A13" s="1" t="s">
        <v>21</v>
      </c>
      <c r="D13" s="1">
        <f>((D7*10^-6)+((D6*10^-9)*(D12/1000)))*(10^6)</f>
        <v>-150.0000012962752</v>
      </c>
      <c r="E13" s="1">
        <f>((E7*10^-6)+((E6*10^-9)*(E12/1000)))*(10^6)</f>
        <v>0</v>
      </c>
      <c r="F13" s="1">
        <f>((F7*10^-6)+((F6*10^-9)*(F12/1000)))*(10^6)</f>
        <v>150.00000130668704</v>
      </c>
      <c r="G13" s="1" t="s">
        <v>13</v>
      </c>
      <c r="H13" s="2" t="s">
        <v>22</v>
      </c>
    </row>
    <row r="14" spans="1:8" x14ac:dyDescent="0.25">
      <c r="A14" s="1" t="s">
        <v>20</v>
      </c>
      <c r="D14" s="1">
        <f>D13</f>
        <v>-150.0000012962752</v>
      </c>
      <c r="E14" s="1">
        <f>E13</f>
        <v>0</v>
      </c>
      <c r="F14" s="1">
        <f>F13</f>
        <v>150.00000130668704</v>
      </c>
      <c r="G14" s="1" t="s">
        <v>13</v>
      </c>
    </row>
    <row r="15" spans="1:8" x14ac:dyDescent="0.25">
      <c r="A15" s="1" t="s">
        <v>27</v>
      </c>
      <c r="D15" s="1">
        <f>(D11-(F14*(10^-6)))/F4</f>
        <v>1.874501991250984E-2</v>
      </c>
      <c r="E15" s="1">
        <f>(E11-(E14*(10^-6)))/E4</f>
        <v>2.0000000000000004E-2</v>
      </c>
      <c r="F15" s="1">
        <f>(F11-(D14*(10^-6)))/D4</f>
        <v>2.1265060248772744E-2</v>
      </c>
      <c r="G15" s="1" t="s">
        <v>28</v>
      </c>
    </row>
    <row r="16" spans="1:8" x14ac:dyDescent="0.25">
      <c r="A16" s="1" t="s">
        <v>29</v>
      </c>
      <c r="D16" s="1">
        <f>D15+(D6*10^-6)</f>
        <v>1.8737019912509839E-2</v>
      </c>
      <c r="E16" s="1">
        <f>E15+(E6*10^-6)</f>
        <v>2.0000000000000004E-2</v>
      </c>
      <c r="F16" s="1">
        <f>F15+(F6*10^-6)</f>
        <v>2.1273060248772745E-2</v>
      </c>
      <c r="G16" s="1" t="s">
        <v>28</v>
      </c>
    </row>
    <row r="17" spans="1:7" x14ac:dyDescent="0.25">
      <c r="A17" s="1" t="s">
        <v>17</v>
      </c>
      <c r="D17" s="1">
        <f>(D14/10^6)+(D16*D5)</f>
        <v>0.12693870918047895</v>
      </c>
      <c r="E17" s="1">
        <f>(E14/10^6)+(E16*E5)</f>
        <v>0.13620000000000002</v>
      </c>
      <c r="F17" s="1">
        <f>(F14/10^6)+(F16*F5)</f>
        <v>0.14559901845662565</v>
      </c>
      <c r="G17" s="1" t="s">
        <v>18</v>
      </c>
    </row>
    <row r="18" spans="1:7" x14ac:dyDescent="0.25">
      <c r="A18" s="1" t="s">
        <v>34</v>
      </c>
      <c r="D18" s="1">
        <f>D17/E17</f>
        <v>0.9320022700475693</v>
      </c>
      <c r="E18" s="1">
        <f>E17/E17</f>
        <v>1</v>
      </c>
      <c r="F18" s="1">
        <f>F17/E17</f>
        <v>1.0690089460838887</v>
      </c>
      <c r="G18" s="1" t="s">
        <v>7</v>
      </c>
    </row>
    <row r="19" spans="1:7" x14ac:dyDescent="0.25">
      <c r="A19" s="1" t="s">
        <v>35</v>
      </c>
      <c r="D19" s="1">
        <f>((D18-E18)/E18)*100</f>
        <v>-6.7997729952430692</v>
      </c>
      <c r="F19" s="1">
        <f>((F18-E18)/E18)*100</f>
        <v>6.9008946083888745</v>
      </c>
      <c r="G19" s="1" t="s">
        <v>36</v>
      </c>
    </row>
    <row r="21" spans="1:7" x14ac:dyDescent="0.25">
      <c r="E21" s="5"/>
      <c r="F2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Foster</dc:creator>
  <cp:lastModifiedBy>Judd Foster</cp:lastModifiedBy>
  <dcterms:created xsi:type="dcterms:W3CDTF">2026-02-22T04:47:19Z</dcterms:created>
  <dcterms:modified xsi:type="dcterms:W3CDTF">2026-02-22T17:41:11Z</dcterms:modified>
</cp:coreProperties>
</file>